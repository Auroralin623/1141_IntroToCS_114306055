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yurong/Documents/GitHub/1141_IntroToCS_114306055/HW3_Excel1/"/>
    </mc:Choice>
  </mc:AlternateContent>
  <xr:revisionPtr revIDLastSave="0" documentId="13_ncr:1_{EF6763C2-F78E-994E-98FF-2D2DAE814193}" xr6:coauthVersionLast="47" xr6:coauthVersionMax="47" xr10:uidLastSave="{00000000-0000-0000-0000-000000000000}"/>
  <bookViews>
    <workbookView xWindow="0" yWindow="500" windowWidth="23260" windowHeight="12460" xr2:uid="{60C2E2F6-AD98-4042-9BF5-DA3DB7B4AD4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1" l="1"/>
  <c r="N17" i="1"/>
  <c r="L2" i="1"/>
  <c r="H17" i="1"/>
  <c r="D17" i="1"/>
  <c r="J2" i="1"/>
  <c r="C17" i="1"/>
  <c r="J17" i="1"/>
  <c r="L9" i="1"/>
  <c r="L4" i="1"/>
  <c r="L3" i="1"/>
  <c r="L10" i="1"/>
  <c r="L11" i="1"/>
  <c r="L12" i="1"/>
  <c r="L13" i="1"/>
  <c r="L14" i="1"/>
  <c r="L15" i="1"/>
  <c r="K5" i="1"/>
  <c r="K13" i="1"/>
  <c r="J3" i="1"/>
  <c r="K3" i="1" s="1"/>
  <c r="J4" i="1"/>
  <c r="K4" i="1" s="1"/>
  <c r="J5" i="1"/>
  <c r="L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J14" i="1"/>
  <c r="K14" i="1" s="1"/>
  <c r="J15" i="1"/>
  <c r="K15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L8" i="1" l="1"/>
  <c r="K2" i="1"/>
  <c r="L7" i="1"/>
  <c r="L6" i="1"/>
</calcChain>
</file>

<file path=xl/sharedStrings.xml><?xml version="1.0" encoding="utf-8"?>
<sst xmlns="http://schemas.openxmlformats.org/spreadsheetml/2006/main" count="34" uniqueCount="34">
  <si>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</si>
  <si>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</si>
  <si>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</si>
  <si>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</si>
  <si>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</si>
  <si>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</si>
  <si>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</si>
  <si>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</si>
  <si>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</si>
  <si>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</si>
  <si>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</si>
  <si>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</si>
  <si>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</si>
  <si>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</si>
  <si>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</si>
  <si>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</si>
  <si>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</si>
  <si>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</si>
  <si>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</si>
  <si>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</si>
  <si>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</si>
  <si>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</si>
  <si>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</si>
  <si>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</si>
  <si>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</si>
  <si>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</si>
  <si>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</si>
  <si>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</si>
  <si>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</si>
  <si>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</si>
  <si>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</si>
  <si>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</si>
  <si>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pass</t>
    <phoneticPr fontId="2" type="noConversion"/>
  </si>
  <si>
    <t>fail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</si>
</sst>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</cellXfs>
  <cellStyles count="1">
    <cellStyle name="一般" xfId="0" builtinId="0"/>
  </cellStyles>
  <dxfs count="2">
    <dxf>
      <font>
        <b val="0"/>
        <i val="0"/>
        <strike val="0"/>
        <u val="none"/>
        <color theme="1"/>
      </font>
      <numFmt numFmtId="0" formatCode="General"/>
      <fill>
        <patternFill patternType="solid">
          <fgColor rgb="FF00B050"/>
          <bgColor rgb="FF00B05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>
          <bgColor rgb="FFFFC7CE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student's</a:t>
            </a:r>
            <a:r>
              <a:rPr lang="en-US" altLang="zh-TW" baseline="0"/>
              <a:t> overall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工作表1!$B$2:$B$15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</c:v>
                </c:pt>
                <c:pt idx="4">
                  <c:v>84.7</c:v>
                </c:pt>
                <c:pt idx="5">
                  <c:v>80.8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E-404D-862F-86E26DF5F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6545280"/>
        <c:axId val="1746546992"/>
      </c:barChart>
      <c:catAx>
        <c:axId val="174654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6546992"/>
        <c:crosses val="autoZero"/>
        <c:auto val="1"/>
        <c:lblAlgn val="ctr"/>
        <c:lblOffset val="100"/>
        <c:noMultiLvlLbl val="0"/>
      </c:catAx>
      <c:valAx>
        <c:axId val="174654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654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Q10</a:t>
            </a:r>
            <a:r>
              <a:rPr lang="en-US" altLang="zh-TW" baseline="0"/>
              <a:t>  answer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5D-1542-962B-0476084EF9F9}"/>
              </c:ext>
            </c:extLst>
          </c:dPt>
          <c:dPt>
            <c:idx val="1"/>
            <c:bubble3D val="0"/>
            <c:spPr>
              <a:solidFill>
                <a:srgbClr val="FFC7C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85D-1542-962B-0476084EF9F9}"/>
              </c:ext>
            </c:extLst>
          </c:dPt>
          <c:dLbls>
            <c:dLbl>
              <c:idx val="0"/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5D-1542-962B-0476084EF9F9}"/>
                </c:ext>
              </c:extLst>
            </c:dLbl>
            <c:dLbl>
              <c:idx val="1"/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5D-1542-962B-0476084EF9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工作表1!$M$17:$M$18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工作表1!$N$17:$N$18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D-1542-962B-0476084EF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520700</xdr:colOff>
      <xdr:row>24</xdr:row>
      <xdr:rowOff>184150</xdr:rowOff>
    </xdr:from>
    <xdr:to>
      <xdr:col>10</xdr:col>
      <xdr:colOff>1765300</xdr:colOff>
      <xdr:row>39</xdr:row>
      <xdr:rowOff>69850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7F992A4-246E-54D3-923F-CC541D681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1820333</xdr:colOff>
      <xdr:row>18</xdr:row>
      <xdr:rowOff>91017</xdr:rowOff>
    </xdr:from>
    <xdr:to>
      <xdr:col>16</xdr:col>
      <xdr:colOff>101600</xdr:colOff>
      <xdr:row>32</xdr:row>
      <xdr:rowOff>154517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96A31B19-2156-10FC-7A91-D8E1E9E5B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N24"/>
  <sheetViews>
    <sheetView tabSelected="1" zoomScale="61" zoomScaleNormal="163" workbookViewId="0">
      <selection activeCell="O13" sqref="O13"/>
    </sheetView>
  </sheetViews>
  <sheetFormatPr baseColWidth="10" defaultColWidth="8.83203125" defaultRowHeight="15"/>
  <cols>
    <col min="3" max="4" width="13" bestFit="1" customWidth="1"/>
    <col min="8" max="8" width="18.6640625" bestFit="1" customWidth="1"/>
    <col min="10" max="10" width="16.1640625" bestFit="1" customWidth="1"/>
    <col min="11" max="11" width="24.1640625" customWidth="1"/>
    <col min="12" max="12" width="23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3" t="s">
        <v>25</v>
      </c>
    </row>
    <row r="2" spans="1:12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 s="6">
        <f>AVERAGE(C2:G2)*0.5 +I2*0.5</f>
        <v>91.7</v>
      </c>
      <c r="K2" s="5" t="str">
        <f>IF(J2&gt;=90,"A",IF(J2&gt;=80,"B",IF(J2&gt;=70,"C",IF(J2&gt;=60,"D","F"))))</f>
        <v>A</v>
      </c>
      <c r="L2" s="5" t="str">
        <f>IF(J2&lt;60,"fail","pass")</f>
        <v>pass</v>
      </c>
    </row>
    <row r="3" spans="1:12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0">AVERAGE(C3:G3)</f>
        <v>86</v>
      </c>
      <c r="I3" s="1">
        <v>94</v>
      </c>
      <c r="J3" s="6">
        <f t="shared" ref="J3:J15" si="1">AVERAGE(C3:G3)*0.5 +I3*0.5</f>
        <v>90</v>
      </c>
      <c r="K3" s="5" t="str">
        <f t="shared" ref="K3:K15" si="2">IF(J3&gt;=90,"A",IF(J3&gt;=80,"B",IF(J3&gt;=70,"C",IF(J3&gt;=60,"D","F"))))</f>
        <v>A</v>
      </c>
      <c r="L3" s="5" t="str">
        <f>IF(J3&lt;60,"fail","pass")</f>
        <v>pass</v>
      </c>
    </row>
    <row r="4" spans="1:12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 s="6">
        <f t="shared" si="1"/>
        <v>81.2</v>
      </c>
      <c r="K4" s="5" t="str">
        <f t="shared" si="2"/>
        <v>B</v>
      </c>
      <c r="L4" s="5" t="str">
        <f>IF(J4&lt;60,"fail","pass")</f>
        <v>pass</v>
      </c>
    </row>
    <row r="5" spans="1:12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 s="6">
        <f t="shared" si="1"/>
        <v>80.8</v>
      </c>
      <c r="K5" s="5" t="str">
        <f t="shared" si="2"/>
        <v>B</v>
      </c>
      <c r="L5" s="5" t="str">
        <f t="shared" ref="L5:L15" si="3">IF(J5&lt;60,"fail","pass")</f>
        <v>pass</v>
      </c>
    </row>
    <row r="6" spans="1:12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 s="6">
        <f t="shared" si="1"/>
        <v>84.7</v>
      </c>
      <c r="K6" s="5" t="str">
        <f t="shared" si="2"/>
        <v>B</v>
      </c>
      <c r="L6" s="5" t="str">
        <f t="shared" si="3"/>
        <v>pass</v>
      </c>
    </row>
    <row r="7" spans="1:12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 s="6">
        <f t="shared" si="1"/>
        <v>80.8</v>
      </c>
      <c r="K7" s="5" t="str">
        <f t="shared" si="2"/>
        <v>B</v>
      </c>
      <c r="L7" s="5" t="str">
        <f t="shared" si="3"/>
        <v>pass</v>
      </c>
    </row>
    <row r="8" spans="1:12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 s="6">
        <f t="shared" si="1"/>
        <v>77.900000000000006</v>
      </c>
      <c r="K8" s="5" t="str">
        <f t="shared" si="2"/>
        <v>C</v>
      </c>
      <c r="L8" s="5" t="str">
        <f t="shared" si="3"/>
        <v>pass</v>
      </c>
    </row>
    <row r="9" spans="1:12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 s="6">
        <f t="shared" si="1"/>
        <v>74.2</v>
      </c>
      <c r="K9" s="5" t="str">
        <f t="shared" si="2"/>
        <v>C</v>
      </c>
      <c r="L9" s="5" t="str">
        <f>IF(J9&lt;60,"fail","pass")</f>
        <v>pass</v>
      </c>
    </row>
    <row r="10" spans="1:12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 s="6">
        <f t="shared" si="1"/>
        <v>75.2</v>
      </c>
      <c r="K10" s="5" t="str">
        <f t="shared" si="2"/>
        <v>C</v>
      </c>
      <c r="L10" s="5" t="str">
        <f t="shared" si="3"/>
        <v>pass</v>
      </c>
    </row>
    <row r="11" spans="1:12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 s="6">
        <f t="shared" si="1"/>
        <v>77.599999999999994</v>
      </c>
      <c r="K11" s="5" t="str">
        <f t="shared" si="2"/>
        <v>C</v>
      </c>
      <c r="L11" s="5" t="str">
        <f t="shared" si="3"/>
        <v>pass</v>
      </c>
    </row>
    <row r="12" spans="1:12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73.2</v>
      </c>
      <c r="I12" s="1">
        <v>88</v>
      </c>
      <c r="J12" s="6">
        <f t="shared" si="1"/>
        <v>80.599999999999994</v>
      </c>
      <c r="K12" s="5" t="str">
        <f t="shared" si="2"/>
        <v>B</v>
      </c>
      <c r="L12" s="5" t="str">
        <f t="shared" si="3"/>
        <v>pass</v>
      </c>
    </row>
    <row r="13" spans="1:12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 s="6">
        <f t="shared" si="1"/>
        <v>59</v>
      </c>
      <c r="K13" s="5" t="str">
        <f t="shared" si="2"/>
        <v>F</v>
      </c>
      <c r="L13" s="5" t="str">
        <f t="shared" si="3"/>
        <v>fail</v>
      </c>
    </row>
    <row r="14" spans="1:12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 s="6">
        <f t="shared" si="1"/>
        <v>66.900000000000006</v>
      </c>
      <c r="K14" s="5" t="str">
        <f t="shared" si="2"/>
        <v>D</v>
      </c>
      <c r="L14" s="5" t="str">
        <f t="shared" si="3"/>
        <v>pass</v>
      </c>
    </row>
    <row r="15" spans="1:12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 s="6">
        <f t="shared" si="1"/>
        <v>55.6</v>
      </c>
      <c r="K15" s="5" t="str">
        <f t="shared" si="2"/>
        <v>F</v>
      </c>
      <c r="L15" s="5" t="str">
        <f t="shared" si="3"/>
        <v>fail</v>
      </c>
    </row>
    <row r="16" spans="1:12" ht="16">
      <c r="C16" s="4" t="s">
        <v>27</v>
      </c>
      <c r="D16" s="4" t="s">
        <v>28</v>
      </c>
      <c r="H16" s="4" t="s">
        <v>29</v>
      </c>
      <c r="J16" s="4" t="s">
        <v>26</v>
      </c>
      <c r="L16" s="4" t="s">
        <v>31</v>
      </c>
    </row>
    <row r="17" spans="3:14">
      <c r="C17" s="6">
        <f>LARGE(C2:C15,1)</f>
        <v>98</v>
      </c>
      <c r="D17" s="5">
        <f>LARGE(D2:D15,2)</f>
        <v>92</v>
      </c>
      <c r="H17" s="1">
        <f>COUNTIF(H2:H15,"&lt;80")</f>
        <v>8</v>
      </c>
      <c r="J17">
        <f>AVERAGE(J2:J15)</f>
        <v>76.871428571428581</v>
      </c>
      <c r="M17" t="s">
        <v>32</v>
      </c>
      <c r="N17">
        <f>COUNTIF(L2:L15,"pass")</f>
        <v>12</v>
      </c>
    </row>
    <row r="18" spans="3:14">
      <c r="M18" t="s">
        <v>33</v>
      </c>
      <c r="N18">
        <f>COUNTIF(L2:L15,"fail")</f>
        <v>2</v>
      </c>
    </row>
    <row r="24" spans="3:14" ht="16">
      <c r="J24" s="4" t="s">
        <v>30</v>
      </c>
    </row>
  </sheetData>
  <phoneticPr fontId="2" type="noConversion"/>
  <conditionalFormatting sqref="L2:L15">
    <cfRule type="expression" dxfId="1" priority="1">
      <formula>$L2="fail"</formula>
    </cfRule>
    <cfRule type="expression" dxfId="0" priority="3">
      <formula>$L2="pass"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auroralin6666@gmail.com</cp:lastModifiedBy>
  <dcterms:created xsi:type="dcterms:W3CDTF">2023-10-19T05:27:10Z</dcterms:created>
  <dcterms:modified xsi:type="dcterms:W3CDTF">2025-10-05T06:57:47Z</dcterms:modified>
</cp:coreProperties>
</file>